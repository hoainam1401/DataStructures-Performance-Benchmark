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cper\Desktop\AK2_Project\"/>
    </mc:Choice>
  </mc:AlternateContent>
  <xr:revisionPtr revIDLastSave="0" documentId="13_ncr:1_{71E8EC73-DF8F-4556-B210-97A3747DF463}" xr6:coauthVersionLast="47" xr6:coauthVersionMax="47" xr10:uidLastSave="{00000000-0000-0000-0000-000000000000}"/>
  <bookViews>
    <workbookView xWindow="-120" yWindow="-120" windowWidth="28095" windowHeight="16440" activeTab="1" xr2:uid="{CA34D439-8A77-45F1-9572-252B745AFE77}"/>
  </bookViews>
  <sheets>
    <sheet name="TIME" sheetId="1" r:id="rId1"/>
    <sheet name="RAM US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4" i="2" l="1"/>
  <c r="Q5" i="2"/>
  <c r="Q6" i="2"/>
  <c r="Q7" i="2"/>
  <c r="Q8" i="2"/>
  <c r="Q3" i="2"/>
  <c r="P4" i="2"/>
  <c r="P5" i="2"/>
  <c r="P6" i="2"/>
  <c r="P7" i="2"/>
  <c r="P8" i="2"/>
  <c r="P3" i="2"/>
  <c r="O4" i="2"/>
  <c r="O5" i="2"/>
  <c r="O6" i="2"/>
  <c r="O7" i="2"/>
  <c r="O8" i="2"/>
  <c r="O3" i="2"/>
  <c r="G25" i="1"/>
  <c r="G26" i="1"/>
  <c r="G27" i="1"/>
  <c r="G28" i="1"/>
  <c r="G29" i="1"/>
  <c r="G24" i="1"/>
  <c r="F25" i="1"/>
  <c r="F26" i="1"/>
  <c r="F27" i="1"/>
  <c r="F28" i="1"/>
  <c r="F29" i="1"/>
  <c r="F24" i="1"/>
  <c r="E25" i="1"/>
  <c r="E26" i="1"/>
  <c r="E27" i="1"/>
  <c r="E28" i="1"/>
  <c r="E29" i="1"/>
  <c r="E24" i="1"/>
  <c r="D25" i="1"/>
  <c r="D26" i="1"/>
  <c r="D27" i="1"/>
  <c r="D28" i="1"/>
  <c r="D29" i="1"/>
  <c r="D24" i="1"/>
  <c r="C25" i="1"/>
  <c r="C26" i="1"/>
  <c r="C27" i="1"/>
  <c r="C28" i="1"/>
  <c r="C29" i="1"/>
  <c r="C24" i="1"/>
  <c r="B25" i="1"/>
  <c r="B26" i="1"/>
  <c r="B27" i="1"/>
  <c r="B28" i="1"/>
  <c r="B29" i="1"/>
  <c r="B24" i="1"/>
  <c r="H15" i="1"/>
  <c r="H16" i="1"/>
  <c r="H17" i="1"/>
  <c r="H18" i="1"/>
  <c r="H19" i="1"/>
  <c r="H14" i="1"/>
  <c r="H26" i="1" l="1"/>
  <c r="H27" i="1"/>
  <c r="H25" i="1"/>
  <c r="H29" i="1"/>
  <c r="H28" i="1"/>
  <c r="H24" i="1"/>
</calcChain>
</file>

<file path=xl/sharedStrings.xml><?xml version="1.0" encoding="utf-8"?>
<sst xmlns="http://schemas.openxmlformats.org/spreadsheetml/2006/main" count="98" uniqueCount="35">
  <si>
    <t>Usunięcie uzupełnionej struktury</t>
  </si>
  <si>
    <t>Skrót</t>
  </si>
  <si>
    <t>Rozwinienie</t>
  </si>
  <si>
    <t>SS</t>
  </si>
  <si>
    <t>Stworzenie struktury</t>
  </si>
  <si>
    <t xml:space="preserve">UUS </t>
  </si>
  <si>
    <t>DWPS</t>
  </si>
  <si>
    <t>Dodanie wartości do pustej struktury</t>
  </si>
  <si>
    <t>DWUS</t>
  </si>
  <si>
    <t>Dodanie wartości do uzupełnionej struktury</t>
  </si>
  <si>
    <t>UW</t>
  </si>
  <si>
    <t>Usunięcie wartości z struktury</t>
  </si>
  <si>
    <t>AVG</t>
  </si>
  <si>
    <t>Obliczanie średniej arytmetycznej</t>
  </si>
  <si>
    <t>UUS</t>
  </si>
  <si>
    <t>Stos</t>
  </si>
  <si>
    <t>BST</t>
  </si>
  <si>
    <t>Kopiec</t>
  </si>
  <si>
    <t>Lista</t>
  </si>
  <si>
    <t>Tablica</t>
  </si>
  <si>
    <t>Kolejka</t>
  </si>
  <si>
    <t>Suma</t>
  </si>
  <si>
    <t>Waznosc</t>
  </si>
  <si>
    <t>MIEJSCE</t>
  </si>
  <si>
    <t>STRUKT</t>
  </si>
  <si>
    <t>Stwórz strukture</t>
  </si>
  <si>
    <t>Dodaj jeden elem.</t>
  </si>
  <si>
    <t>Dodaj 50% elem.</t>
  </si>
  <si>
    <t>Przed</t>
  </si>
  <si>
    <t>Po</t>
  </si>
  <si>
    <t>Średni Czas [ms*100000]</t>
  </si>
  <si>
    <t>Różnica w zużyciu RAM po wykonaniu  operacji [B]</t>
  </si>
  <si>
    <t>Zmiana zużycia RAM dla wybranych operacji [B]</t>
  </si>
  <si>
    <t>Punkty za szybkość(więcej punktów= szybciej)</t>
  </si>
  <si>
    <t>Punkty za szybkość(dużo pkt= lepszy czas)*mnożnik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</si>
</sst>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0" borderId="2" xfId="0" applyNumberFormat="1" applyBorder="1" applyAlignment="1"/>
    <xf numFmtId="1" fontId="0" fillId="0" borderId="3" xfId="0" applyNumberFormat="1" applyBorder="1"/>
    <xf numFmtId="1" fontId="0" fillId="0" borderId="4" xfId="0" applyNumberFormat="1" applyBorder="1"/>
    <xf numFmtId="1" fontId="0" fillId="0" borderId="11" xfId="0" applyNumberFormat="1" applyBorder="1"/>
    <xf numFmtId="1" fontId="0" fillId="0" borderId="0" xfId="0" applyNumberFormat="1" applyBorder="1"/>
    <xf numFmtId="1" fontId="0" fillId="0" borderId="12" xfId="0" applyNumberFormat="1" applyBorder="1"/>
    <xf numFmtId="1" fontId="0" fillId="0" borderId="5" xfId="0" applyNumberFormat="1" applyBorder="1"/>
    <xf numFmtId="1" fontId="0" fillId="0" borderId="6" xfId="0" applyNumberFormat="1" applyBorder="1"/>
    <xf numFmtId="1" fontId="0" fillId="0" borderId="7" xfId="0" applyNumberFormat="1" applyBorder="1"/>
    <xf numFmtId="0" fontId="0" fillId="0" borderId="1" xfId="0" applyBorder="1"/>
    <xf numFmtId="1" fontId="0" fillId="0" borderId="8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0" fontId="0" fillId="0" borderId="0" xfId="0" applyAlignment="1">
      <alignment wrapText="1"/>
    </xf>
    <xf numFmtId="0" fontId="0" fillId="0" borderId="0" xfId="0" applyBorder="1"/>
    <xf numFmtId="1" fontId="0" fillId="0" borderId="0" xfId="0" applyNumberFormat="1" applyFill="1" applyBorder="1"/>
    <xf numFmtId="0" fontId="0" fillId="0" borderId="0" xfId="0" applyAlignment="1"/>
    <xf numFmtId="1" fontId="0" fillId="0" borderId="0" xfId="0" applyNumberFormat="1" applyBorder="1" applyAlignment="1"/>
    <xf numFmtId="0" fontId="0" fillId="0" borderId="0" xfId="0" applyBorder="1" applyAlignment="1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/>
    <xf numFmtId="2" fontId="0" fillId="0" borderId="3" xfId="0" applyNumberFormat="1" applyBorder="1"/>
    <xf numFmtId="164" fontId="0" fillId="0" borderId="3" xfId="0" applyNumberFormat="1" applyBorder="1"/>
    <xf numFmtId="2" fontId="0" fillId="0" borderId="4" xfId="0" applyNumberFormat="1" applyBorder="1"/>
    <xf numFmtId="164" fontId="0" fillId="0" borderId="11" xfId="0" applyNumberFormat="1" applyBorder="1"/>
    <xf numFmtId="2" fontId="0" fillId="0" borderId="0" xfId="0" applyNumberFormat="1" applyBorder="1"/>
    <xf numFmtId="164" fontId="0" fillId="0" borderId="0" xfId="0" applyNumberFormat="1" applyBorder="1"/>
    <xf numFmtId="164" fontId="0" fillId="0" borderId="12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5" xfId="0" applyNumberFormat="1" applyBorder="1"/>
    <xf numFmtId="2" fontId="0" fillId="0" borderId="6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1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Średni czas wykonywania operacji na danych strukturach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TIME!$A$3</c:f>
              <c:strCache>
                <c:ptCount val="1"/>
                <c:pt idx="0">
                  <c:v>Stos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TIME!$N$2:$N$7</c:f>
              <c:strCache>
                <c:ptCount val="6"/>
                <c:pt idx="0">
                  <c:v>Stworzenie struktury</c:v>
                </c:pt>
                <c:pt idx="1">
                  <c:v>Usunięcie uzupełnionej struktury</c:v>
                </c:pt>
                <c:pt idx="2">
                  <c:v>Dodanie wartości do pustej struktury</c:v>
                </c:pt>
                <c:pt idx="3">
                  <c:v>Dodanie wartości do uzupełnionej struktury</c:v>
                </c:pt>
                <c:pt idx="4">
                  <c:v>Usunięcie wartości z struktury</c:v>
                </c:pt>
                <c:pt idx="5">
                  <c:v>Obliczanie średniej arytmetycznej</c:v>
                </c:pt>
              </c:strCache>
            </c:strRef>
          </c:cat>
          <c:val>
            <c:numRef>
              <c:f>TIME!$B$3:$G$3</c:f>
              <c:numCache>
                <c:formatCode>0.00</c:formatCode>
                <c:ptCount val="6"/>
                <c:pt idx="0" formatCode="0.000">
                  <c:v>4.78</c:v>
                </c:pt>
                <c:pt idx="1">
                  <c:v>29.52</c:v>
                </c:pt>
                <c:pt idx="2" formatCode="0.000">
                  <c:v>5.63</c:v>
                </c:pt>
                <c:pt idx="3" formatCode="0.000">
                  <c:v>5.14</c:v>
                </c:pt>
                <c:pt idx="4" formatCode="0.000">
                  <c:v>3.87</c:v>
                </c:pt>
                <c:pt idx="5">
                  <c:v>11.73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9-43BC-B754-512F7648B91E}"/>
            </c:ext>
          </c:extLst>
        </c:ser>
        <c:ser>
          <c:idx val="1"/>
          <c:order val="1"/>
          <c:tx>
            <c:strRef>
              <c:f>TIME!$A$4</c:f>
              <c:strCache>
                <c:ptCount val="1"/>
                <c:pt idx="0">
                  <c:v>BST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TIME!$N$2:$N$7</c:f>
              <c:strCache>
                <c:ptCount val="6"/>
                <c:pt idx="0">
                  <c:v>Stworzenie struktury</c:v>
                </c:pt>
                <c:pt idx="1">
                  <c:v>Usunięcie uzupełnionej struktury</c:v>
                </c:pt>
                <c:pt idx="2">
                  <c:v>Dodanie wartości do pustej struktury</c:v>
                </c:pt>
                <c:pt idx="3">
                  <c:v>Dodanie wartości do uzupełnionej struktury</c:v>
                </c:pt>
                <c:pt idx="4">
                  <c:v>Usunięcie wartości z struktury</c:v>
                </c:pt>
                <c:pt idx="5">
                  <c:v>Obliczanie średniej arytmetycznej</c:v>
                </c:pt>
              </c:strCache>
            </c:strRef>
          </c:cat>
          <c:val>
            <c:numRef>
              <c:f>TIME!$B$4:$G$4</c:f>
              <c:numCache>
                <c:formatCode>0.00</c:formatCode>
                <c:ptCount val="6"/>
                <c:pt idx="0" formatCode="0.000">
                  <c:v>8.2799999999999994</c:v>
                </c:pt>
                <c:pt idx="1">
                  <c:v>12.92</c:v>
                </c:pt>
                <c:pt idx="2" formatCode="0.000">
                  <c:v>4.8</c:v>
                </c:pt>
                <c:pt idx="3">
                  <c:v>29.38</c:v>
                </c:pt>
                <c:pt idx="4" formatCode="0.000">
                  <c:v>5</c:v>
                </c:pt>
                <c:pt idx="5" formatCode="0.000">
                  <c:v>19.39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29-43BC-B754-512F7648B91E}"/>
            </c:ext>
          </c:extLst>
        </c:ser>
        <c:ser>
          <c:idx val="2"/>
          <c:order val="2"/>
          <c:tx>
            <c:strRef>
              <c:f>TIME!$A$5</c:f>
              <c:strCache>
                <c:ptCount val="1"/>
                <c:pt idx="0">
                  <c:v>Kopiec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TIME!$N$2:$N$7</c:f>
              <c:strCache>
                <c:ptCount val="6"/>
                <c:pt idx="0">
                  <c:v>Stworzenie struktury</c:v>
                </c:pt>
                <c:pt idx="1">
                  <c:v>Usunięcie uzupełnionej struktury</c:v>
                </c:pt>
                <c:pt idx="2">
                  <c:v>Dodanie wartości do pustej struktury</c:v>
                </c:pt>
                <c:pt idx="3">
                  <c:v>Dodanie wartości do uzupełnionej struktury</c:v>
                </c:pt>
                <c:pt idx="4">
                  <c:v>Usunięcie wartości z struktury</c:v>
                </c:pt>
                <c:pt idx="5">
                  <c:v>Obliczanie średniej arytmetycznej</c:v>
                </c:pt>
              </c:strCache>
            </c:strRef>
          </c:cat>
          <c:val>
            <c:numRef>
              <c:f>TIME!$B$5:$G$5</c:f>
              <c:numCache>
                <c:formatCode>0.000</c:formatCode>
                <c:ptCount val="6"/>
                <c:pt idx="0" formatCode="0.00">
                  <c:v>15.09</c:v>
                </c:pt>
                <c:pt idx="1">
                  <c:v>6.53</c:v>
                </c:pt>
                <c:pt idx="2" formatCode="0.00">
                  <c:v>28.06</c:v>
                </c:pt>
                <c:pt idx="3" formatCode="0.00">
                  <c:v>20.149999999999999</c:v>
                </c:pt>
                <c:pt idx="4" formatCode="0.00">
                  <c:v>11.22</c:v>
                </c:pt>
                <c:pt idx="5" formatCode="0.00">
                  <c:v>6.41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29-43BC-B754-512F7648B91E}"/>
            </c:ext>
          </c:extLst>
        </c:ser>
        <c:ser>
          <c:idx val="3"/>
          <c:order val="3"/>
          <c:tx>
            <c:strRef>
              <c:f>TIME!$A$6</c:f>
              <c:strCache>
                <c:ptCount val="1"/>
                <c:pt idx="0">
                  <c:v>Lista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TIME!$N$2:$N$7</c:f>
              <c:strCache>
                <c:ptCount val="6"/>
                <c:pt idx="0">
                  <c:v>Stworzenie struktury</c:v>
                </c:pt>
                <c:pt idx="1">
                  <c:v>Usunięcie uzupełnionej struktury</c:v>
                </c:pt>
                <c:pt idx="2">
                  <c:v>Dodanie wartości do pustej struktury</c:v>
                </c:pt>
                <c:pt idx="3">
                  <c:v>Dodanie wartości do uzupełnionej struktury</c:v>
                </c:pt>
                <c:pt idx="4">
                  <c:v>Usunięcie wartości z struktury</c:v>
                </c:pt>
                <c:pt idx="5">
                  <c:v>Obliczanie średniej arytmetycznej</c:v>
                </c:pt>
              </c:strCache>
            </c:strRef>
          </c:cat>
          <c:val>
            <c:numRef>
              <c:f>TIME!$B$6:$G$6</c:f>
              <c:numCache>
                <c:formatCode>0.00</c:formatCode>
                <c:ptCount val="6"/>
                <c:pt idx="0" formatCode="0.000">
                  <c:v>8.14</c:v>
                </c:pt>
                <c:pt idx="1">
                  <c:v>46.64</c:v>
                </c:pt>
                <c:pt idx="2" formatCode="0.000">
                  <c:v>9.69</c:v>
                </c:pt>
                <c:pt idx="3" formatCode="0.000">
                  <c:v>8.76</c:v>
                </c:pt>
                <c:pt idx="4" formatCode="0.000">
                  <c:v>6.25</c:v>
                </c:pt>
                <c:pt idx="5" formatCode="0.000">
                  <c:v>4.5199999999999996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29-43BC-B754-512F7648B91E}"/>
            </c:ext>
          </c:extLst>
        </c:ser>
        <c:ser>
          <c:idx val="4"/>
          <c:order val="4"/>
          <c:tx>
            <c:strRef>
              <c:f>TIME!$A$7</c:f>
              <c:strCache>
                <c:ptCount val="1"/>
                <c:pt idx="0">
                  <c:v>Tablica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TIME!$N$2:$N$7</c:f>
              <c:strCache>
                <c:ptCount val="6"/>
                <c:pt idx="0">
                  <c:v>Stworzenie struktury</c:v>
                </c:pt>
                <c:pt idx="1">
                  <c:v>Usunięcie uzupełnionej struktury</c:v>
                </c:pt>
                <c:pt idx="2">
                  <c:v>Dodanie wartości do pustej struktury</c:v>
                </c:pt>
                <c:pt idx="3">
                  <c:v>Dodanie wartości do uzupełnionej struktury</c:v>
                </c:pt>
                <c:pt idx="4">
                  <c:v>Usunięcie wartości z struktury</c:v>
                </c:pt>
                <c:pt idx="5">
                  <c:v>Obliczanie średniej arytmetycznej</c:v>
                </c:pt>
              </c:strCache>
            </c:strRef>
          </c:cat>
          <c:val>
            <c:numRef>
              <c:f>TIME!$B$7:$G$7</c:f>
              <c:numCache>
                <c:formatCode>0.000</c:formatCode>
                <c:ptCount val="6"/>
                <c:pt idx="0" formatCode="0.00">
                  <c:v>12.01</c:v>
                </c:pt>
                <c:pt idx="1">
                  <c:v>9.5500000000000007</c:v>
                </c:pt>
                <c:pt idx="2">
                  <c:v>7.93</c:v>
                </c:pt>
                <c:pt idx="3" formatCode="0.00">
                  <c:v>9.6300000000000008</c:v>
                </c:pt>
                <c:pt idx="4">
                  <c:v>1.7</c:v>
                </c:pt>
                <c:pt idx="5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29-43BC-B754-512F7648B91E}"/>
            </c:ext>
          </c:extLst>
        </c:ser>
        <c:ser>
          <c:idx val="5"/>
          <c:order val="5"/>
          <c:tx>
            <c:strRef>
              <c:f>TIME!$A$8</c:f>
              <c:strCache>
                <c:ptCount val="1"/>
                <c:pt idx="0">
                  <c:v>Kolejka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TIME!$N$2:$N$7</c:f>
              <c:strCache>
                <c:ptCount val="6"/>
                <c:pt idx="0">
                  <c:v>Stworzenie struktury</c:v>
                </c:pt>
                <c:pt idx="1">
                  <c:v>Usunięcie uzupełnionej struktury</c:v>
                </c:pt>
                <c:pt idx="2">
                  <c:v>Dodanie wartości do pustej struktury</c:v>
                </c:pt>
                <c:pt idx="3">
                  <c:v>Dodanie wartości do uzupełnionej struktury</c:v>
                </c:pt>
                <c:pt idx="4">
                  <c:v>Usunięcie wartości z struktury</c:v>
                </c:pt>
                <c:pt idx="5">
                  <c:v>Obliczanie średniej arytmetycznej</c:v>
                </c:pt>
              </c:strCache>
            </c:strRef>
          </c:cat>
          <c:val>
            <c:numRef>
              <c:f>TIME!$B$8:$G$8</c:f>
              <c:numCache>
                <c:formatCode>0.00</c:formatCode>
                <c:ptCount val="6"/>
                <c:pt idx="0">
                  <c:v>15.02</c:v>
                </c:pt>
                <c:pt idx="1">
                  <c:v>14.47</c:v>
                </c:pt>
                <c:pt idx="2" formatCode="0.000">
                  <c:v>2.4300000000000002</c:v>
                </c:pt>
                <c:pt idx="3" formatCode="0.000">
                  <c:v>2.2999999999999998</c:v>
                </c:pt>
                <c:pt idx="4" formatCode="0.000">
                  <c:v>2.09</c:v>
                </c:pt>
                <c:pt idx="5" formatCode="0.000">
                  <c:v>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29-43BC-B754-512F7648B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40815"/>
        <c:axId val="82438319"/>
      </c:barChart>
      <c:catAx>
        <c:axId val="824408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Rodzaj operacji</a:t>
                </a:r>
                <a:r>
                  <a:rPr lang="pl-PL" baseline="0"/>
                  <a:t> dla struktury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438319"/>
        <c:crosses val="autoZero"/>
        <c:auto val="1"/>
        <c:lblAlgn val="ctr"/>
        <c:lblOffset val="100"/>
        <c:noMultiLvlLbl val="0"/>
      </c:catAx>
      <c:valAx>
        <c:axId val="8243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Czas[ms*100000]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244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'RAM USAGE'!$O$2</c:f>
              <c:strCache>
                <c:ptCount val="1"/>
                <c:pt idx="0">
                  <c:v>Stwórz strukture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'RAM USAGE'!$N$3:$N$8</c:f>
              <c:strCache>
                <c:ptCount val="6"/>
                <c:pt idx="0">
                  <c:v>Stos</c:v>
                </c:pt>
                <c:pt idx="1">
                  <c:v>BST</c:v>
                </c:pt>
                <c:pt idx="2">
                  <c:v>Kopiec</c:v>
                </c:pt>
                <c:pt idx="3">
                  <c:v>Lista</c:v>
                </c:pt>
                <c:pt idx="4">
                  <c:v>Tablica</c:v>
                </c:pt>
                <c:pt idx="5">
                  <c:v>Kolejka</c:v>
                </c:pt>
              </c:strCache>
            </c:strRef>
          </c:cat>
          <c:val>
            <c:numRef>
              <c:f>'RAM USAGE'!$O$3:$O$8</c:f>
              <c:numCache>
                <c:formatCode>0</c:formatCode>
                <c:ptCount val="6"/>
                <c:pt idx="0">
                  <c:v>86</c:v>
                </c:pt>
                <c:pt idx="1">
                  <c:v>86</c:v>
                </c:pt>
                <c:pt idx="2">
                  <c:v>103</c:v>
                </c:pt>
                <c:pt idx="3">
                  <c:v>86</c:v>
                </c:pt>
                <c:pt idx="4">
                  <c:v>66</c:v>
                </c:pt>
                <c:pt idx="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B-4B94-B228-6AE55FE3C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728431"/>
        <c:axId val="714727183"/>
      </c:barChart>
      <c:catAx>
        <c:axId val="7147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4727183"/>
        <c:crosses val="autoZero"/>
        <c:auto val="1"/>
        <c:lblAlgn val="ctr"/>
        <c:lblOffset val="100"/>
        <c:noMultiLvlLbl val="0"/>
      </c:catAx>
      <c:valAx>
        <c:axId val="7147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472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'RAM USAGE'!$P$2</c:f>
              <c:strCache>
                <c:ptCount val="1"/>
                <c:pt idx="0">
                  <c:v>Dodaj jeden elem.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'RAM USAGE'!$N$3:$N$8</c:f>
              <c:strCache>
                <c:ptCount val="6"/>
                <c:pt idx="0">
                  <c:v>Stos</c:v>
                </c:pt>
                <c:pt idx="1">
                  <c:v>BST</c:v>
                </c:pt>
                <c:pt idx="2">
                  <c:v>Kopiec</c:v>
                </c:pt>
                <c:pt idx="3">
                  <c:v>Lista</c:v>
                </c:pt>
                <c:pt idx="4">
                  <c:v>Tablica</c:v>
                </c:pt>
                <c:pt idx="5">
                  <c:v>Kolejka</c:v>
                </c:pt>
              </c:strCache>
            </c:strRef>
          </c:cat>
          <c:val>
            <c:numRef>
              <c:f>'RAM USAGE'!$P$3:$P$8</c:f>
              <c:numCache>
                <c:formatCode>0</c:formatCode>
                <c:ptCount val="6"/>
                <c:pt idx="0">
                  <c:v>151</c:v>
                </c:pt>
                <c:pt idx="1">
                  <c:v>86</c:v>
                </c:pt>
                <c:pt idx="2">
                  <c:v>86</c:v>
                </c:pt>
                <c:pt idx="3">
                  <c:v>86</c:v>
                </c:pt>
                <c:pt idx="4">
                  <c:v>66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D-46A6-BBFE-46BA150F6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728431"/>
        <c:axId val="714727183"/>
      </c:barChart>
      <c:catAx>
        <c:axId val="71472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4727183"/>
        <c:crosses val="autoZero"/>
        <c:auto val="1"/>
        <c:lblAlgn val="ctr"/>
        <c:lblOffset val="100"/>
        <c:noMultiLvlLbl val="0"/>
      </c:catAx>
      <c:valAx>
        <c:axId val="71472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472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'RAM USAGE'!$Q$2</c:f>
              <c:strCache>
                <c:ptCount val="1"/>
                <c:pt idx="0">
                  <c:v>Dodaj 50% elem.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'RAM USAGE'!$N$3:$N$8</c:f>
              <c:strCache>
                <c:ptCount val="6"/>
                <c:pt idx="0">
                  <c:v>Stos</c:v>
                </c:pt>
                <c:pt idx="1">
                  <c:v>BST</c:v>
                </c:pt>
                <c:pt idx="2">
                  <c:v>Kopiec</c:v>
                </c:pt>
                <c:pt idx="3">
                  <c:v>Lista</c:v>
                </c:pt>
                <c:pt idx="4">
                  <c:v>Tablica</c:v>
                </c:pt>
                <c:pt idx="5">
                  <c:v>Kolejka</c:v>
                </c:pt>
              </c:strCache>
            </c:strRef>
          </c:cat>
          <c:val>
            <c:numRef>
              <c:f>'RAM USAGE'!$Q$3:$Q$8</c:f>
              <c:numCache>
                <c:formatCode>0</c:formatCode>
                <c:ptCount val="6"/>
                <c:pt idx="0">
                  <c:v>1012</c:v>
                </c:pt>
                <c:pt idx="1">
                  <c:v>4391</c:v>
                </c:pt>
                <c:pt idx="2">
                  <c:v>451</c:v>
                </c:pt>
                <c:pt idx="3">
                  <c:v>1270</c:v>
                </c:pt>
                <c:pt idx="4">
                  <c:v>1327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74-4FE1-8089-D6F5FE67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493039"/>
        <c:axId val="790905631"/>
      </c:barChart>
      <c:catAx>
        <c:axId val="78949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90905631"/>
        <c:crosses val="autoZero"/>
        <c:auto val="1"/>
        <c:lblAlgn val="ctr"/>
        <c:lblOffset val="100"/>
        <c:noMultiLvlLbl val="0"/>
      </c:catAx>
      <c:valAx>
        <c:axId val="7909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89493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31</xdr:row>
      <xdr:rowOff>133350</xdr:rowOff>
    </xdr:from>
    <xdr:to>
      <xdr:col>16</xdr:col>
      <xdr:colOff>171450</xdr:colOff>
      <xdr:row>57</xdr:row>
      <xdr:rowOff>66675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343756A-93D8-D5FC-05F8-F3DDBCFFD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261937</xdr:colOff>
      <xdr:row>12</xdr:row>
      <xdr:rowOff>85725</xdr:rowOff>
    </xdr:from>
    <xdr:to>
      <xdr:col>16</xdr:col>
      <xdr:colOff>176212</xdr:colOff>
      <xdr:row>26</xdr:row>
      <xdr:rowOff>161925</xdr:rowOff>
    </xdr:to>
    <xdr:graphicFrame macro="">
      <xdr:nvGraphicFramePr>
        <xdr:cNvPr id="8" name="Wykres 7">
          <a:extLst>
            <a:ext uri="{FF2B5EF4-FFF2-40B4-BE49-F238E27FC236}">
              <a16:creationId xmlns:a16="http://schemas.microsoft.com/office/drawing/2014/main" id="{7E2499B9-F8CB-6E29-C197-1DA3E09D4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276224</xdr:colOff>
      <xdr:row>12</xdr:row>
      <xdr:rowOff>85725</xdr:rowOff>
    </xdr:from>
    <xdr:to>
      <xdr:col>9</xdr:col>
      <xdr:colOff>19050</xdr:colOff>
      <xdr:row>26</xdr:row>
      <xdr:rowOff>161925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87C6ADBB-1593-4108-AEB5-17A575BBBD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242887</xdr:colOff>
      <xdr:row>27</xdr:row>
      <xdr:rowOff>47625</xdr:rowOff>
    </xdr:from>
    <xdr:to>
      <xdr:col>16</xdr:col>
      <xdr:colOff>157162</xdr:colOff>
      <xdr:row>41</xdr:row>
      <xdr:rowOff>123825</xdr:rowOff>
    </xdr:to>
    <xdr:graphicFrame macro="">
      <xdr:nvGraphicFramePr>
        <xdr:cNvPr id="11" name="Wykres 10">
          <a:extLst>
            <a:ext uri="{FF2B5EF4-FFF2-40B4-BE49-F238E27FC236}">
              <a16:creationId xmlns:a16="http://schemas.microsoft.com/office/drawing/2014/main" id="{A3C40006-FBE6-BBE2-B2A7-E4C6CB36C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F6513-12C4-4622-B847-1E965559552F}">
  <dimension ref="A1:X30"/>
  <sheetViews>
    <sheetView workbookViewId="0">
      <selection activeCell="T22" sqref="T22:X30"/>
    </sheetView>
  </sheetViews>
  <sheetFormatPr defaultRowHeight="15" x14ac:dyDescent="0.25"/>
  <cols>
    <col min="2" max="4" width="9.140625" customWidth="1"/>
    <col min="14" max="14" width="19.7109375" bestFit="1" customWidth="1"/>
  </cols>
  <sheetData>
    <row r="1" spans="1:24" x14ac:dyDescent="0.25">
      <c r="B1" s="75" t="s">
        <v>30</v>
      </c>
      <c r="C1" s="76"/>
      <c r="D1" s="76"/>
      <c r="E1" s="76"/>
      <c r="F1" s="76"/>
      <c r="G1" s="77"/>
      <c r="L1" t="s">
        <v>22</v>
      </c>
      <c r="M1" t="s">
        <v>1</v>
      </c>
      <c r="N1" t="s">
        <v>2</v>
      </c>
    </row>
    <row r="2" spans="1:24" ht="15" customHeight="1" thickBot="1" x14ac:dyDescent="0.3">
      <c r="B2" s="1" t="s">
        <v>3</v>
      </c>
      <c r="C2" s="2" t="s">
        <v>14</v>
      </c>
      <c r="D2" s="2" t="s">
        <v>6</v>
      </c>
      <c r="E2" s="2" t="s">
        <v>8</v>
      </c>
      <c r="F2" s="2" t="s">
        <v>10</v>
      </c>
      <c r="G2" s="3" t="s">
        <v>12</v>
      </c>
      <c r="L2">
        <v>1</v>
      </c>
      <c r="M2" t="s">
        <v>3</v>
      </c>
      <c r="N2" t="s">
        <v>4</v>
      </c>
      <c r="T2" s="20"/>
      <c r="U2" s="20"/>
      <c r="V2" s="20"/>
      <c r="W2" s="20"/>
      <c r="X2" s="20"/>
    </row>
    <row r="3" spans="1:24" x14ac:dyDescent="0.25">
      <c r="A3" s="4" t="s">
        <v>15</v>
      </c>
      <c r="B3" s="37">
        <v>4.78</v>
      </c>
      <c r="C3" s="38">
        <v>29.52</v>
      </c>
      <c r="D3" s="39">
        <v>5.63</v>
      </c>
      <c r="E3" s="39">
        <v>5.14</v>
      </c>
      <c r="F3" s="39">
        <v>3.87</v>
      </c>
      <c r="G3" s="40">
        <v>11.73</v>
      </c>
      <c r="L3">
        <v>1</v>
      </c>
      <c r="M3" t="s">
        <v>5</v>
      </c>
      <c r="N3" t="s">
        <v>0</v>
      </c>
      <c r="T3" s="20"/>
      <c r="U3" s="20"/>
      <c r="V3" s="20"/>
      <c r="W3" s="20"/>
      <c r="X3" s="20"/>
    </row>
    <row r="4" spans="1:24" x14ac:dyDescent="0.25">
      <c r="A4" s="5" t="s">
        <v>16</v>
      </c>
      <c r="B4" s="41">
        <v>8.2799999999999994</v>
      </c>
      <c r="C4" s="42">
        <v>12.92</v>
      </c>
      <c r="D4" s="43">
        <v>4.8</v>
      </c>
      <c r="E4" s="42">
        <v>29.38</v>
      </c>
      <c r="F4" s="43">
        <v>5</v>
      </c>
      <c r="G4" s="44">
        <v>19.39</v>
      </c>
      <c r="L4">
        <v>2</v>
      </c>
      <c r="M4" t="s">
        <v>6</v>
      </c>
      <c r="N4" t="s">
        <v>7</v>
      </c>
      <c r="T4" s="20"/>
      <c r="U4" s="20"/>
      <c r="V4" s="20"/>
      <c r="W4" s="20"/>
      <c r="X4" s="20"/>
    </row>
    <row r="5" spans="1:24" x14ac:dyDescent="0.25">
      <c r="A5" s="5" t="s">
        <v>17</v>
      </c>
      <c r="B5" s="45">
        <v>15.09</v>
      </c>
      <c r="C5" s="43">
        <v>6.53</v>
      </c>
      <c r="D5" s="42">
        <v>28.06</v>
      </c>
      <c r="E5" s="42">
        <v>20.149999999999999</v>
      </c>
      <c r="F5" s="42">
        <v>11.22</v>
      </c>
      <c r="G5" s="46">
        <v>6.41</v>
      </c>
      <c r="L5">
        <v>3</v>
      </c>
      <c r="M5" t="s">
        <v>8</v>
      </c>
      <c r="N5" t="s">
        <v>9</v>
      </c>
      <c r="T5" s="20"/>
      <c r="U5" s="20"/>
      <c r="V5" s="20"/>
      <c r="W5" s="20"/>
      <c r="X5" s="20"/>
    </row>
    <row r="6" spans="1:24" x14ac:dyDescent="0.25">
      <c r="A6" s="5" t="s">
        <v>18</v>
      </c>
      <c r="B6" s="41">
        <v>8.14</v>
      </c>
      <c r="C6" s="42">
        <v>46.64</v>
      </c>
      <c r="D6" s="43">
        <v>9.69</v>
      </c>
      <c r="E6" s="43">
        <v>8.76</v>
      </c>
      <c r="F6" s="43">
        <v>6.25</v>
      </c>
      <c r="G6" s="44">
        <v>4.5199999999999996</v>
      </c>
      <c r="L6">
        <v>3</v>
      </c>
      <c r="M6" t="s">
        <v>10</v>
      </c>
      <c r="N6" t="s">
        <v>11</v>
      </c>
      <c r="T6" s="20"/>
      <c r="U6" s="20"/>
      <c r="V6" s="20"/>
      <c r="W6" s="20"/>
      <c r="X6" s="20"/>
    </row>
    <row r="7" spans="1:24" x14ac:dyDescent="0.25">
      <c r="A7" s="5" t="s">
        <v>19</v>
      </c>
      <c r="B7" s="45">
        <v>12.01</v>
      </c>
      <c r="C7" s="43">
        <v>9.5500000000000007</v>
      </c>
      <c r="D7" s="43">
        <v>7.93</v>
      </c>
      <c r="E7" s="42">
        <v>9.6300000000000008</v>
      </c>
      <c r="F7" s="43">
        <v>1.7</v>
      </c>
      <c r="G7" s="44">
        <v>5.6</v>
      </c>
      <c r="L7">
        <v>2</v>
      </c>
      <c r="M7" t="s">
        <v>12</v>
      </c>
      <c r="N7" t="s">
        <v>13</v>
      </c>
      <c r="T7" s="20"/>
      <c r="U7" s="20"/>
      <c r="V7" s="20"/>
      <c r="W7" s="20"/>
      <c r="X7" s="20"/>
    </row>
    <row r="8" spans="1:24" ht="15.75" thickBot="1" x14ac:dyDescent="0.3">
      <c r="A8" s="6" t="s">
        <v>20</v>
      </c>
      <c r="B8" s="47">
        <v>15.02</v>
      </c>
      <c r="C8" s="48">
        <v>14.47</v>
      </c>
      <c r="D8" s="49">
        <v>2.4300000000000002</v>
      </c>
      <c r="E8" s="49">
        <v>2.2999999999999998</v>
      </c>
      <c r="F8" s="49">
        <v>2.09</v>
      </c>
      <c r="G8" s="50">
        <v>5.63</v>
      </c>
      <c r="T8" s="20"/>
      <c r="U8" s="20"/>
      <c r="V8" s="20"/>
      <c r="W8" s="20"/>
      <c r="X8" s="20"/>
    </row>
    <row r="9" spans="1:24" x14ac:dyDescent="0.25">
      <c r="T9" s="20"/>
      <c r="U9" s="20"/>
      <c r="V9" s="20"/>
      <c r="W9" s="20"/>
      <c r="X9" s="20"/>
    </row>
    <row r="10" spans="1:24" x14ac:dyDescent="0.25">
      <c r="T10" s="20"/>
      <c r="U10" s="20"/>
      <c r="V10" s="20"/>
      <c r="W10" s="20"/>
      <c r="X10" s="20"/>
    </row>
    <row r="11" spans="1:24" ht="15.75" thickBot="1" x14ac:dyDescent="0.3">
      <c r="T11" s="20"/>
      <c r="U11" s="20"/>
      <c r="V11" s="20"/>
      <c r="W11" s="20"/>
      <c r="X11" s="20"/>
    </row>
    <row r="12" spans="1:24" ht="15.75" thickBot="1" x14ac:dyDescent="0.3">
      <c r="B12" s="75" t="s">
        <v>33</v>
      </c>
      <c r="C12" s="76"/>
      <c r="D12" s="76"/>
      <c r="E12" s="76"/>
      <c r="F12" s="76"/>
      <c r="G12" s="77"/>
      <c r="T12" s="20"/>
      <c r="U12" s="20"/>
      <c r="V12" s="20"/>
      <c r="W12" s="20"/>
      <c r="X12" s="20"/>
    </row>
    <row r="13" spans="1:24" ht="15.75" thickBot="1" x14ac:dyDescent="0.3">
      <c r="B13" s="1" t="s">
        <v>3</v>
      </c>
      <c r="C13" s="2" t="s">
        <v>14</v>
      </c>
      <c r="D13" s="2" t="s">
        <v>6</v>
      </c>
      <c r="E13" s="2" t="s">
        <v>8</v>
      </c>
      <c r="F13" s="2" t="s">
        <v>10</v>
      </c>
      <c r="G13" s="3" t="s">
        <v>12</v>
      </c>
      <c r="H13" s="16" t="s">
        <v>21</v>
      </c>
      <c r="J13" t="s">
        <v>23</v>
      </c>
      <c r="K13" t="s">
        <v>24</v>
      </c>
      <c r="T13" s="20"/>
      <c r="U13" s="20"/>
      <c r="V13" s="20"/>
      <c r="W13" s="20"/>
      <c r="X13" s="20"/>
    </row>
    <row r="14" spans="1:24" x14ac:dyDescent="0.25">
      <c r="A14" s="4" t="s">
        <v>15</v>
      </c>
      <c r="B14" s="7">
        <v>6</v>
      </c>
      <c r="C14" s="8">
        <v>2</v>
      </c>
      <c r="D14" s="8">
        <v>4</v>
      </c>
      <c r="E14" s="8">
        <v>5</v>
      </c>
      <c r="F14" s="8">
        <v>4</v>
      </c>
      <c r="G14" s="9">
        <v>2</v>
      </c>
      <c r="H14" s="17">
        <f t="shared" ref="H14:H19" si="0">SUM(B14:G14)</f>
        <v>23</v>
      </c>
      <c r="J14">
        <v>1</v>
      </c>
      <c r="K14" t="s">
        <v>20</v>
      </c>
      <c r="T14" s="20"/>
      <c r="U14" s="20"/>
      <c r="V14" s="20"/>
      <c r="W14" s="20"/>
      <c r="X14" s="20"/>
    </row>
    <row r="15" spans="1:24" x14ac:dyDescent="0.25">
      <c r="A15" s="5" t="s">
        <v>16</v>
      </c>
      <c r="B15" s="10">
        <v>4</v>
      </c>
      <c r="C15" s="11">
        <v>4</v>
      </c>
      <c r="D15" s="11">
        <v>5</v>
      </c>
      <c r="E15" s="11">
        <v>1</v>
      </c>
      <c r="F15" s="11">
        <v>3</v>
      </c>
      <c r="G15" s="12">
        <v>1</v>
      </c>
      <c r="H15" s="18">
        <f t="shared" si="0"/>
        <v>18</v>
      </c>
      <c r="J15" s="22">
        <v>2</v>
      </c>
      <c r="K15" t="s">
        <v>15</v>
      </c>
      <c r="T15" s="20"/>
      <c r="U15" s="20"/>
      <c r="V15" s="20"/>
      <c r="W15" s="20"/>
      <c r="X15" s="20"/>
    </row>
    <row r="16" spans="1:24" x14ac:dyDescent="0.25">
      <c r="A16" s="5" t="s">
        <v>17</v>
      </c>
      <c r="B16" s="10">
        <v>1</v>
      </c>
      <c r="C16" s="11">
        <v>6</v>
      </c>
      <c r="D16" s="11">
        <v>1</v>
      </c>
      <c r="E16" s="11">
        <v>2</v>
      </c>
      <c r="F16" s="11">
        <v>1</v>
      </c>
      <c r="G16" s="12">
        <v>3</v>
      </c>
      <c r="H16" s="18">
        <f t="shared" si="0"/>
        <v>14</v>
      </c>
      <c r="J16" s="22">
        <v>3</v>
      </c>
      <c r="K16" t="s">
        <v>19</v>
      </c>
      <c r="T16" s="20"/>
      <c r="U16" s="20"/>
      <c r="V16" s="20"/>
      <c r="W16" s="20"/>
      <c r="X16" s="20"/>
    </row>
    <row r="17" spans="1:24" x14ac:dyDescent="0.25">
      <c r="A17" s="5" t="s">
        <v>18</v>
      </c>
      <c r="B17" s="10">
        <v>5</v>
      </c>
      <c r="C17" s="11">
        <v>1</v>
      </c>
      <c r="D17" s="11">
        <v>2</v>
      </c>
      <c r="E17" s="11">
        <v>4</v>
      </c>
      <c r="F17" s="11">
        <v>2</v>
      </c>
      <c r="G17" s="12">
        <v>5</v>
      </c>
      <c r="H17" s="18">
        <f t="shared" si="0"/>
        <v>19</v>
      </c>
      <c r="J17" s="22">
        <v>4</v>
      </c>
      <c r="K17" t="s">
        <v>18</v>
      </c>
      <c r="T17" s="20"/>
      <c r="U17" s="20"/>
      <c r="V17" s="20"/>
      <c r="W17" s="20"/>
      <c r="X17" s="20"/>
    </row>
    <row r="18" spans="1:24" x14ac:dyDescent="0.25">
      <c r="A18" s="5" t="s">
        <v>19</v>
      </c>
      <c r="B18" s="10">
        <v>3</v>
      </c>
      <c r="C18" s="11">
        <v>5</v>
      </c>
      <c r="D18" s="11">
        <v>3</v>
      </c>
      <c r="E18" s="11">
        <v>3</v>
      </c>
      <c r="F18" s="11">
        <v>6</v>
      </c>
      <c r="G18" s="12">
        <v>6</v>
      </c>
      <c r="H18" s="18">
        <f t="shared" si="0"/>
        <v>26</v>
      </c>
      <c r="J18" s="22">
        <v>5</v>
      </c>
      <c r="K18" t="s">
        <v>16</v>
      </c>
      <c r="T18" s="20"/>
      <c r="U18" s="20"/>
      <c r="V18" s="20"/>
      <c r="W18" s="20"/>
      <c r="X18" s="20"/>
    </row>
    <row r="19" spans="1:24" ht="15.75" thickBot="1" x14ac:dyDescent="0.3">
      <c r="A19" s="6" t="s">
        <v>20</v>
      </c>
      <c r="B19" s="13">
        <v>2</v>
      </c>
      <c r="C19" s="14">
        <v>3</v>
      </c>
      <c r="D19" s="14">
        <v>6</v>
      </c>
      <c r="E19" s="14">
        <v>6</v>
      </c>
      <c r="F19" s="14">
        <v>5</v>
      </c>
      <c r="G19" s="15">
        <v>4</v>
      </c>
      <c r="H19" s="19">
        <f t="shared" si="0"/>
        <v>26</v>
      </c>
      <c r="J19" s="22">
        <v>6</v>
      </c>
      <c r="K19" t="s">
        <v>17</v>
      </c>
      <c r="T19" s="20"/>
      <c r="U19" s="20"/>
      <c r="V19" s="20"/>
      <c r="W19" s="20"/>
      <c r="X19" s="20"/>
    </row>
    <row r="21" spans="1:24" ht="15.75" thickBot="1" x14ac:dyDescent="0.3"/>
    <row r="22" spans="1:24" ht="15.75" customHeight="1" thickBot="1" x14ac:dyDescent="0.3">
      <c r="A22" s="60"/>
      <c r="B22" s="75" t="s">
        <v>34</v>
      </c>
      <c r="C22" s="76"/>
      <c r="D22" s="76"/>
      <c r="E22" s="76"/>
      <c r="F22" s="76"/>
      <c r="G22" s="77"/>
      <c r="H22" s="60"/>
      <c r="T22" s="20"/>
      <c r="U22" s="20"/>
      <c r="V22" s="20"/>
      <c r="W22" s="20"/>
      <c r="X22" s="20"/>
    </row>
    <row r="23" spans="1:24" ht="15.75" thickBot="1" x14ac:dyDescent="0.3">
      <c r="A23" s="60"/>
      <c r="B23" s="61" t="s">
        <v>3</v>
      </c>
      <c r="C23" s="62" t="s">
        <v>14</v>
      </c>
      <c r="D23" s="62" t="s">
        <v>6</v>
      </c>
      <c r="E23" s="62" t="s">
        <v>8</v>
      </c>
      <c r="F23" s="62" t="s">
        <v>10</v>
      </c>
      <c r="G23" s="63" t="s">
        <v>12</v>
      </c>
      <c r="H23" s="64" t="s">
        <v>21</v>
      </c>
      <c r="J23" t="s">
        <v>23</v>
      </c>
      <c r="K23" t="s">
        <v>24</v>
      </c>
      <c r="T23" s="20"/>
      <c r="U23" s="20"/>
      <c r="V23" s="20"/>
      <c r="W23" s="20"/>
      <c r="X23" s="20"/>
    </row>
    <row r="24" spans="1:24" x14ac:dyDescent="0.25">
      <c r="A24" s="51" t="s">
        <v>15</v>
      </c>
      <c r="B24" s="65">
        <f t="shared" ref="B24:B29" si="1">B14*$L$2</f>
        <v>6</v>
      </c>
      <c r="C24" s="66">
        <f t="shared" ref="C24:C29" si="2">C14*$L$3</f>
        <v>2</v>
      </c>
      <c r="D24" s="66">
        <f t="shared" ref="D24:D29" si="3">D14*$L$4</f>
        <v>8</v>
      </c>
      <c r="E24" s="66">
        <f t="shared" ref="E24:E29" si="4">E14*$L$5</f>
        <v>15</v>
      </c>
      <c r="F24" s="66">
        <f t="shared" ref="F24:F29" si="5">F14*$L$6</f>
        <v>12</v>
      </c>
      <c r="G24" s="67">
        <f t="shared" ref="G24:G29" si="6">G14*$L$7</f>
        <v>4</v>
      </c>
      <c r="H24" s="67">
        <f>SUM(B24:G24)</f>
        <v>47</v>
      </c>
      <c r="J24">
        <v>1</v>
      </c>
      <c r="K24" t="s">
        <v>20</v>
      </c>
      <c r="T24" s="20"/>
      <c r="U24" s="20"/>
      <c r="V24" s="20"/>
      <c r="W24" s="20"/>
      <c r="X24" s="20"/>
    </row>
    <row r="25" spans="1:24" x14ac:dyDescent="0.25">
      <c r="A25" s="61" t="s">
        <v>16</v>
      </c>
      <c r="B25" s="68">
        <f t="shared" si="1"/>
        <v>4</v>
      </c>
      <c r="C25" s="69">
        <f t="shared" si="2"/>
        <v>4</v>
      </c>
      <c r="D25" s="69">
        <f t="shared" si="3"/>
        <v>10</v>
      </c>
      <c r="E25" s="69">
        <f t="shared" si="4"/>
        <v>3</v>
      </c>
      <c r="F25" s="69">
        <f t="shared" si="5"/>
        <v>9</v>
      </c>
      <c r="G25" s="70">
        <f t="shared" si="6"/>
        <v>2</v>
      </c>
      <c r="H25" s="70">
        <f t="shared" ref="H25:H29" si="7">SUM(B25:G25)</f>
        <v>32</v>
      </c>
      <c r="J25" s="22">
        <v>2</v>
      </c>
      <c r="K25" t="s">
        <v>19</v>
      </c>
      <c r="T25" s="20"/>
      <c r="U25" s="20"/>
      <c r="V25" s="20"/>
      <c r="W25" s="20"/>
      <c r="X25" s="20"/>
    </row>
    <row r="26" spans="1:24" x14ac:dyDescent="0.25">
      <c r="A26" s="61" t="s">
        <v>17</v>
      </c>
      <c r="B26" s="68">
        <f t="shared" si="1"/>
        <v>1</v>
      </c>
      <c r="C26" s="69">
        <f t="shared" si="2"/>
        <v>6</v>
      </c>
      <c r="D26" s="69">
        <f t="shared" si="3"/>
        <v>2</v>
      </c>
      <c r="E26" s="69">
        <f t="shared" si="4"/>
        <v>6</v>
      </c>
      <c r="F26" s="69">
        <f t="shared" si="5"/>
        <v>3</v>
      </c>
      <c r="G26" s="70">
        <f t="shared" si="6"/>
        <v>6</v>
      </c>
      <c r="H26" s="70">
        <f t="shared" si="7"/>
        <v>24</v>
      </c>
      <c r="J26" s="22">
        <v>3</v>
      </c>
      <c r="K26" t="s">
        <v>15</v>
      </c>
      <c r="T26" s="20"/>
      <c r="U26" s="20"/>
      <c r="V26" s="20"/>
      <c r="W26" s="20"/>
      <c r="X26" s="20"/>
    </row>
    <row r="27" spans="1:24" x14ac:dyDescent="0.25">
      <c r="A27" s="61" t="s">
        <v>18</v>
      </c>
      <c r="B27" s="68">
        <f t="shared" si="1"/>
        <v>5</v>
      </c>
      <c r="C27" s="69">
        <f t="shared" si="2"/>
        <v>1</v>
      </c>
      <c r="D27" s="69">
        <f t="shared" si="3"/>
        <v>4</v>
      </c>
      <c r="E27" s="69">
        <f t="shared" si="4"/>
        <v>12</v>
      </c>
      <c r="F27" s="69">
        <f t="shared" si="5"/>
        <v>6</v>
      </c>
      <c r="G27" s="70">
        <f t="shared" si="6"/>
        <v>10</v>
      </c>
      <c r="H27" s="70">
        <f t="shared" si="7"/>
        <v>38</v>
      </c>
      <c r="J27" s="22">
        <v>4</v>
      </c>
      <c r="K27" t="s">
        <v>18</v>
      </c>
      <c r="T27" s="20"/>
      <c r="U27" s="20"/>
      <c r="V27" s="20"/>
      <c r="W27" s="20"/>
      <c r="X27" s="20"/>
    </row>
    <row r="28" spans="1:24" x14ac:dyDescent="0.25">
      <c r="A28" s="61" t="s">
        <v>19</v>
      </c>
      <c r="B28" s="68">
        <f t="shared" si="1"/>
        <v>3</v>
      </c>
      <c r="C28" s="69">
        <f t="shared" si="2"/>
        <v>5</v>
      </c>
      <c r="D28" s="69">
        <f t="shared" si="3"/>
        <v>6</v>
      </c>
      <c r="E28" s="69">
        <f t="shared" si="4"/>
        <v>9</v>
      </c>
      <c r="F28" s="69">
        <f t="shared" si="5"/>
        <v>18</v>
      </c>
      <c r="G28" s="70">
        <f t="shared" si="6"/>
        <v>12</v>
      </c>
      <c r="H28" s="70">
        <f t="shared" si="7"/>
        <v>53</v>
      </c>
      <c r="J28" s="22">
        <v>5</v>
      </c>
      <c r="K28" t="s">
        <v>16</v>
      </c>
      <c r="T28" s="20"/>
      <c r="U28" s="20"/>
      <c r="V28" s="20"/>
      <c r="W28" s="20"/>
      <c r="X28" s="20"/>
    </row>
    <row r="29" spans="1:24" ht="15.75" thickBot="1" x14ac:dyDescent="0.3">
      <c r="A29" s="71" t="s">
        <v>20</v>
      </c>
      <c r="B29" s="72">
        <f t="shared" si="1"/>
        <v>2</v>
      </c>
      <c r="C29" s="73">
        <f t="shared" si="2"/>
        <v>3</v>
      </c>
      <c r="D29" s="73">
        <f t="shared" si="3"/>
        <v>12</v>
      </c>
      <c r="E29" s="73">
        <f t="shared" si="4"/>
        <v>18</v>
      </c>
      <c r="F29" s="73">
        <f t="shared" si="5"/>
        <v>15</v>
      </c>
      <c r="G29" s="74">
        <f t="shared" si="6"/>
        <v>8</v>
      </c>
      <c r="H29" s="74">
        <f t="shared" si="7"/>
        <v>58</v>
      </c>
      <c r="J29" s="22">
        <v>6</v>
      </c>
      <c r="K29" t="s">
        <v>17</v>
      </c>
      <c r="T29" s="20"/>
      <c r="U29" s="20"/>
      <c r="V29" s="20"/>
      <c r="W29" s="20"/>
      <c r="X29" s="20"/>
    </row>
    <row r="30" spans="1:24" x14ac:dyDescent="0.25">
      <c r="T30" s="20"/>
      <c r="U30" s="20"/>
      <c r="V30" s="20"/>
      <c r="W30" s="20"/>
      <c r="X30" s="20"/>
    </row>
  </sheetData>
  <mergeCells count="3">
    <mergeCell ref="B1:G1"/>
    <mergeCell ref="B12:G12"/>
    <mergeCell ref="B22:G2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D9C8-A672-40F2-ACFB-85A09DDD43FA}">
  <dimension ref="A1:V30"/>
  <sheetViews>
    <sheetView tabSelected="1" workbookViewId="0">
      <selection activeCell="Q16" sqref="Q16"/>
    </sheetView>
  </sheetViews>
  <sheetFormatPr defaultRowHeight="15" x14ac:dyDescent="0.25"/>
  <cols>
    <col min="2" max="4" width="9" bestFit="1" customWidth="1"/>
    <col min="15" max="15" width="15.7109375" bestFit="1" customWidth="1"/>
    <col min="16" max="16" width="17.5703125" bestFit="1" customWidth="1"/>
    <col min="17" max="17" width="15.85546875" bestFit="1" customWidth="1"/>
    <col min="18" max="18" width="9.140625" customWidth="1"/>
  </cols>
  <sheetData>
    <row r="1" spans="1:22" ht="15.75" thickBot="1" x14ac:dyDescent="0.3">
      <c r="A1" s="26"/>
      <c r="B1" s="80" t="s">
        <v>32</v>
      </c>
      <c r="C1" s="81"/>
      <c r="D1" s="81"/>
      <c r="E1" s="81"/>
      <c r="F1" s="81"/>
      <c r="G1" s="82"/>
      <c r="H1" s="53"/>
      <c r="I1" s="53"/>
      <c r="N1" s="26"/>
      <c r="O1" s="80" t="s">
        <v>31</v>
      </c>
      <c r="P1" s="81"/>
      <c r="Q1" s="82"/>
      <c r="R1" s="52"/>
      <c r="S1" s="23"/>
      <c r="T1" s="23"/>
      <c r="U1" s="23"/>
      <c r="V1" s="23"/>
    </row>
    <row r="2" spans="1:22" ht="15.75" thickBot="1" x14ac:dyDescent="0.3">
      <c r="A2" s="26"/>
      <c r="B2" s="78" t="s">
        <v>25</v>
      </c>
      <c r="C2" s="79"/>
      <c r="D2" s="78" t="s">
        <v>26</v>
      </c>
      <c r="E2" s="79"/>
      <c r="F2" s="78" t="s">
        <v>27</v>
      </c>
      <c r="G2" s="79"/>
      <c r="H2" s="53"/>
      <c r="I2" s="53"/>
      <c r="N2" s="32"/>
      <c r="O2" s="33" t="s">
        <v>25</v>
      </c>
      <c r="P2" s="33" t="s">
        <v>26</v>
      </c>
      <c r="Q2" s="33" t="s">
        <v>27</v>
      </c>
      <c r="R2" s="52"/>
      <c r="S2" s="23"/>
      <c r="T2" s="23"/>
    </row>
    <row r="3" spans="1:22" ht="15.75" thickBot="1" x14ac:dyDescent="0.3">
      <c r="A3" s="26"/>
      <c r="B3" s="57" t="s">
        <v>28</v>
      </c>
      <c r="C3" s="58" t="s">
        <v>29</v>
      </c>
      <c r="D3" s="57" t="s">
        <v>28</v>
      </c>
      <c r="E3" s="58" t="s">
        <v>29</v>
      </c>
      <c r="F3" s="57" t="s">
        <v>28</v>
      </c>
      <c r="G3" s="58" t="s">
        <v>29</v>
      </c>
      <c r="H3" s="32"/>
      <c r="I3" s="32"/>
      <c r="N3" s="36" t="s">
        <v>15</v>
      </c>
      <c r="O3" s="54">
        <f>C4-B4</f>
        <v>86</v>
      </c>
      <c r="P3" s="54">
        <f t="shared" ref="P3:P8" si="0">E4-D4</f>
        <v>151</v>
      </c>
      <c r="Q3" s="54">
        <f t="shared" ref="Q3:Q8" si="1">G4-F4</f>
        <v>1012</v>
      </c>
      <c r="R3" s="52"/>
      <c r="S3" s="25"/>
      <c r="T3" s="25"/>
    </row>
    <row r="4" spans="1:22" x14ac:dyDescent="0.25">
      <c r="A4" s="33" t="s">
        <v>15</v>
      </c>
      <c r="B4" s="28">
        <v>11453747</v>
      </c>
      <c r="C4" s="29">
        <v>11453833</v>
      </c>
      <c r="D4" s="28">
        <v>11612987</v>
      </c>
      <c r="E4" s="29">
        <v>11613138</v>
      </c>
      <c r="F4" s="28">
        <v>12260945</v>
      </c>
      <c r="G4" s="29">
        <v>12261957</v>
      </c>
      <c r="H4" s="59"/>
      <c r="I4" s="59"/>
      <c r="N4" s="27" t="s">
        <v>16</v>
      </c>
      <c r="O4" s="34">
        <f t="shared" ref="O4:O8" si="2">C5-B5</f>
        <v>86</v>
      </c>
      <c r="P4" s="34">
        <f t="shared" si="0"/>
        <v>86</v>
      </c>
      <c r="Q4" s="34">
        <f t="shared" si="1"/>
        <v>4391</v>
      </c>
      <c r="R4" s="52"/>
      <c r="S4" s="25"/>
      <c r="T4" s="25"/>
    </row>
    <row r="5" spans="1:22" x14ac:dyDescent="0.25">
      <c r="A5" s="55" t="s">
        <v>16</v>
      </c>
      <c r="B5" s="28">
        <v>11449651</v>
      </c>
      <c r="C5" s="29">
        <v>11449737</v>
      </c>
      <c r="D5" s="28">
        <v>11625115</v>
      </c>
      <c r="E5" s="29">
        <v>11625201</v>
      </c>
      <c r="F5" s="28">
        <v>13993164</v>
      </c>
      <c r="G5" s="29">
        <v>13997555</v>
      </c>
      <c r="H5" s="59"/>
      <c r="I5" s="59"/>
      <c r="N5" s="27" t="s">
        <v>17</v>
      </c>
      <c r="O5" s="34">
        <f t="shared" si="2"/>
        <v>103</v>
      </c>
      <c r="P5" s="34">
        <f t="shared" si="0"/>
        <v>86</v>
      </c>
      <c r="Q5" s="34">
        <f t="shared" si="1"/>
        <v>451</v>
      </c>
      <c r="R5" s="52"/>
      <c r="S5" s="25"/>
      <c r="T5" s="25"/>
    </row>
    <row r="6" spans="1:22" x14ac:dyDescent="0.25">
      <c r="A6" s="55" t="s">
        <v>17</v>
      </c>
      <c r="B6" s="28">
        <v>11459186</v>
      </c>
      <c r="C6" s="29">
        <v>11459289</v>
      </c>
      <c r="D6" s="28">
        <v>11638431</v>
      </c>
      <c r="E6" s="29">
        <v>11638517</v>
      </c>
      <c r="F6" s="28">
        <v>12052086</v>
      </c>
      <c r="G6" s="29">
        <v>12052537</v>
      </c>
      <c r="H6" s="59"/>
      <c r="I6" s="59"/>
      <c r="N6" s="27" t="s">
        <v>18</v>
      </c>
      <c r="O6" s="34">
        <f t="shared" si="2"/>
        <v>86</v>
      </c>
      <c r="P6" s="34">
        <f t="shared" si="0"/>
        <v>86</v>
      </c>
      <c r="Q6" s="34">
        <f t="shared" si="1"/>
        <v>1270</v>
      </c>
      <c r="R6" s="52"/>
      <c r="S6" s="25"/>
      <c r="T6" s="25"/>
    </row>
    <row r="7" spans="1:22" x14ac:dyDescent="0.25">
      <c r="A7" s="55" t="s">
        <v>18</v>
      </c>
      <c r="B7" s="28">
        <v>11441459</v>
      </c>
      <c r="C7" s="29">
        <v>11441545</v>
      </c>
      <c r="D7" s="28">
        <v>11612827</v>
      </c>
      <c r="E7" s="29">
        <v>11612913</v>
      </c>
      <c r="F7" s="28">
        <v>12376039</v>
      </c>
      <c r="G7" s="29">
        <v>12377309</v>
      </c>
      <c r="H7" s="59"/>
      <c r="I7" s="59"/>
      <c r="N7" s="27" t="s">
        <v>19</v>
      </c>
      <c r="O7" s="34">
        <f t="shared" si="2"/>
        <v>66</v>
      </c>
      <c r="P7" s="34">
        <f t="shared" si="0"/>
        <v>66</v>
      </c>
      <c r="Q7" s="34">
        <f t="shared" si="1"/>
        <v>1327</v>
      </c>
      <c r="R7" s="52"/>
      <c r="S7" s="25"/>
      <c r="T7" s="25"/>
    </row>
    <row r="8" spans="1:22" ht="15.75" thickBot="1" x14ac:dyDescent="0.3">
      <c r="A8" s="55" t="s">
        <v>19</v>
      </c>
      <c r="B8" s="28">
        <v>11591958</v>
      </c>
      <c r="C8" s="29">
        <v>11592024</v>
      </c>
      <c r="D8" s="28">
        <v>12007243</v>
      </c>
      <c r="E8" s="29">
        <v>12007309</v>
      </c>
      <c r="F8" s="28">
        <v>13028061</v>
      </c>
      <c r="G8" s="29">
        <v>13029388</v>
      </c>
      <c r="H8" s="59"/>
      <c r="I8" s="59"/>
      <c r="N8" s="57" t="s">
        <v>20</v>
      </c>
      <c r="O8" s="35">
        <f t="shared" si="2"/>
        <v>274</v>
      </c>
      <c r="P8" s="35">
        <f t="shared" si="0"/>
        <v>0</v>
      </c>
      <c r="Q8" s="35">
        <f t="shared" si="1"/>
        <v>0</v>
      </c>
      <c r="R8" s="53"/>
      <c r="S8" s="25"/>
      <c r="T8" s="25"/>
    </row>
    <row r="9" spans="1:22" ht="15.75" thickBot="1" x14ac:dyDescent="0.3">
      <c r="A9" s="56" t="s">
        <v>20</v>
      </c>
      <c r="B9" s="30">
        <v>11563155</v>
      </c>
      <c r="C9" s="31">
        <v>11563429</v>
      </c>
      <c r="D9" s="30">
        <v>11873210</v>
      </c>
      <c r="E9" s="31">
        <v>11873210</v>
      </c>
      <c r="F9" s="30">
        <v>12143591</v>
      </c>
      <c r="G9" s="31">
        <v>12143591</v>
      </c>
      <c r="H9" s="59"/>
      <c r="I9" s="59"/>
      <c r="R9" s="21"/>
    </row>
    <row r="11" spans="1:22" x14ac:dyDescent="0.25">
      <c r="A11" s="21"/>
      <c r="B11" s="21"/>
      <c r="C11" s="21"/>
      <c r="D11" s="21"/>
      <c r="E11" s="21"/>
      <c r="F11" s="21"/>
      <c r="G11" s="21"/>
      <c r="H11" s="21"/>
      <c r="I11" s="21"/>
      <c r="J11" s="21"/>
    </row>
    <row r="12" spans="1:22" x14ac:dyDescent="0.25">
      <c r="D12" s="25"/>
      <c r="E12" s="25"/>
      <c r="F12" s="25"/>
      <c r="G12" s="25"/>
      <c r="H12" s="25"/>
      <c r="I12" s="21"/>
      <c r="J12" s="21"/>
    </row>
    <row r="13" spans="1:22" x14ac:dyDescent="0.25">
      <c r="D13" s="21"/>
      <c r="E13" s="21"/>
      <c r="F13" s="21"/>
      <c r="G13" s="21"/>
      <c r="H13" s="21"/>
      <c r="I13" s="21"/>
      <c r="J13" s="21"/>
    </row>
    <row r="14" spans="1:22" x14ac:dyDescent="0.25">
      <c r="D14" s="11"/>
      <c r="E14" s="11"/>
      <c r="F14" s="11"/>
      <c r="G14" s="11"/>
      <c r="H14" s="11"/>
      <c r="I14" s="11"/>
      <c r="J14" s="21"/>
    </row>
    <row r="15" spans="1:22" x14ac:dyDescent="0.25">
      <c r="D15" s="11"/>
      <c r="E15" s="11"/>
      <c r="F15" s="11"/>
      <c r="G15" s="11"/>
      <c r="H15" s="11"/>
      <c r="I15" s="11"/>
      <c r="J15" s="21"/>
    </row>
    <row r="16" spans="1:22" x14ac:dyDescent="0.25">
      <c r="D16" s="11"/>
      <c r="E16" s="11"/>
      <c r="F16" s="11"/>
      <c r="G16" s="11"/>
      <c r="H16" s="11"/>
      <c r="I16" s="11"/>
      <c r="J16" s="21"/>
    </row>
    <row r="17" spans="1:10" x14ac:dyDescent="0.25">
      <c r="D17" s="11"/>
      <c r="E17" s="11"/>
      <c r="F17" s="11"/>
      <c r="G17" s="11"/>
      <c r="H17" s="11"/>
      <c r="I17" s="11"/>
      <c r="J17" s="21"/>
    </row>
    <row r="18" spans="1:10" x14ac:dyDescent="0.25">
      <c r="D18" s="11"/>
      <c r="E18" s="11"/>
      <c r="F18" s="11"/>
      <c r="G18" s="11"/>
      <c r="H18" s="11"/>
      <c r="I18" s="11"/>
      <c r="J18" s="21"/>
    </row>
    <row r="19" spans="1:10" x14ac:dyDescent="0.25">
      <c r="A19" s="21"/>
      <c r="B19" s="11"/>
      <c r="C19" s="11"/>
      <c r="D19" s="11"/>
      <c r="E19" s="11"/>
      <c r="F19" s="11"/>
      <c r="G19" s="11"/>
      <c r="H19" s="11"/>
      <c r="I19" s="11"/>
      <c r="J19" s="21"/>
    </row>
    <row r="20" spans="1:10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</row>
    <row r="21" spans="1:10" x14ac:dyDescent="0.25">
      <c r="A21" s="21"/>
      <c r="B21" s="21"/>
      <c r="C21" s="21"/>
      <c r="D21" s="21"/>
      <c r="E21" s="21"/>
      <c r="F21" s="21"/>
      <c r="G21" s="21"/>
      <c r="H21" s="21"/>
      <c r="I21" s="21"/>
      <c r="J21" s="21"/>
    </row>
    <row r="22" spans="1:10" x14ac:dyDescent="0.25">
      <c r="A22" s="21"/>
      <c r="B22" s="25"/>
      <c r="C22" s="25"/>
      <c r="D22" s="25"/>
      <c r="E22" s="25"/>
      <c r="F22" s="25"/>
      <c r="G22" s="25"/>
      <c r="H22" s="25"/>
      <c r="I22" s="21"/>
      <c r="J22" s="21"/>
    </row>
    <row r="23" spans="1:10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</row>
    <row r="24" spans="1:10" x14ac:dyDescent="0.25">
      <c r="A24" s="21"/>
      <c r="B24" s="24"/>
      <c r="C24" s="11"/>
      <c r="D24" s="11"/>
      <c r="E24" s="11"/>
      <c r="F24" s="11"/>
      <c r="G24" s="11"/>
      <c r="H24" s="11"/>
      <c r="I24" s="11"/>
      <c r="J24" s="21"/>
    </row>
    <row r="25" spans="1:10" x14ac:dyDescent="0.25">
      <c r="A25" s="21"/>
      <c r="B25" s="24"/>
      <c r="C25" s="11"/>
      <c r="D25" s="11"/>
      <c r="E25" s="11"/>
      <c r="F25" s="11"/>
      <c r="G25" s="11"/>
      <c r="H25" s="11"/>
      <c r="I25" s="11"/>
      <c r="J25" s="21"/>
    </row>
    <row r="26" spans="1:10" x14ac:dyDescent="0.25">
      <c r="A26" s="21"/>
      <c r="B26" s="24"/>
      <c r="C26" s="11"/>
      <c r="D26" s="11"/>
      <c r="E26" s="11"/>
      <c r="F26" s="11"/>
      <c r="G26" s="11"/>
      <c r="H26" s="11"/>
      <c r="I26" s="11"/>
      <c r="J26" s="21"/>
    </row>
    <row r="27" spans="1:10" x14ac:dyDescent="0.25">
      <c r="A27" s="21"/>
      <c r="B27" s="24"/>
      <c r="C27" s="11"/>
      <c r="D27" s="11"/>
      <c r="E27" s="11"/>
      <c r="F27" s="11"/>
      <c r="G27" s="11"/>
      <c r="H27" s="11"/>
      <c r="I27" s="11"/>
      <c r="J27" s="21"/>
    </row>
    <row r="28" spans="1:10" x14ac:dyDescent="0.25">
      <c r="A28" s="21"/>
      <c r="B28" s="24"/>
      <c r="C28" s="11"/>
      <c r="D28" s="11"/>
      <c r="E28" s="11"/>
      <c r="F28" s="11"/>
      <c r="G28" s="11"/>
      <c r="H28" s="11"/>
      <c r="I28" s="11"/>
      <c r="J28" s="21"/>
    </row>
    <row r="29" spans="1:10" x14ac:dyDescent="0.25">
      <c r="A29" s="21"/>
      <c r="B29" s="24"/>
      <c r="C29" s="11"/>
      <c r="D29" s="11"/>
      <c r="E29" s="11"/>
      <c r="F29" s="11"/>
      <c r="G29" s="11"/>
      <c r="H29" s="11"/>
      <c r="I29" s="11"/>
      <c r="J29" s="21"/>
    </row>
    <row r="30" spans="1:10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</row>
  </sheetData>
  <mergeCells count="5">
    <mergeCell ref="B2:C2"/>
    <mergeCell ref="D2:E2"/>
    <mergeCell ref="F2:G2"/>
    <mergeCell ref="O1:Q1"/>
    <mergeCell ref="B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TIME</vt:lpstr>
      <vt:lpstr>RAM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</dc:creator>
  <cp:lastModifiedBy>Kacper</cp:lastModifiedBy>
  <dcterms:created xsi:type="dcterms:W3CDTF">2022-06-10T15:48:42Z</dcterms:created>
  <dcterms:modified xsi:type="dcterms:W3CDTF">2022-06-14T22:05:05Z</dcterms:modified>
</cp:coreProperties>
</file>